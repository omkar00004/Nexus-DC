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FI Register" sheetId="1" state="visible" r:id="rId1"/>
  </sheets>
  <definedNames>
    <definedName name="_xlnm._FilterDatabase" localSheetId="0" hidden="1">'RFI Register'!$A$4:$R$19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9AA6B2"/>
      <sz val="8"/>
    </font>
    <font>
      <name val="Arial"/>
      <charset val="1"/>
      <family val="0"/>
      <i val="1"/>
      <color rgb="FF5A6672"/>
      <sz val="9"/>
    </font>
    <font>
      <name val="Arial"/>
      <charset val="1"/>
      <family val="0"/>
      <b val="1"/>
      <color rgb="FFFFFFFF"/>
      <sz val="9.5"/>
    </font>
    <font>
      <name val="Arial"/>
      <charset val="1"/>
      <family val="0"/>
      <sz val="9"/>
    </font>
    <font>
      <name val="Arial"/>
      <charset val="1"/>
      <family val="0"/>
      <b val="1"/>
      <color rgb="FF9A4A00"/>
      <sz val="9"/>
    </font>
    <font>
      <name val="Arial"/>
      <charset val="1"/>
      <family val="0"/>
      <b val="1"/>
      <sz val="9"/>
    </font>
  </fonts>
  <fills count="5">
    <fill>
      <patternFill/>
    </fill>
    <fill>
      <patternFill patternType="gray125"/>
    </fill>
    <fill>
      <patternFill patternType="solid">
        <fgColor rgb="FF12314F"/>
        <bgColor rgb="FF333333"/>
      </patternFill>
    </fill>
    <fill>
      <patternFill patternType="solid">
        <fgColor rgb="FF1F5C8B"/>
        <bgColor rgb="FF008080"/>
      </patternFill>
    </fill>
    <fill>
      <patternFill patternType="solid">
        <fgColor rgb="FFFCE9C8"/>
        <bgColor rgb="FFFFFF99"/>
      </patternFill>
    </fill>
  </fills>
  <borders count="2">
    <border>
      <left/>
      <right/>
      <top/>
      <bottom/>
      <diagonal/>
    </border>
    <border>
      <left style="thin">
        <color rgb="FFB7C4D1"/>
      </left>
      <right style="thin">
        <color rgb="FFB7C4D1"/>
      </right>
      <top style="thin">
        <color rgb="FFB7C4D1"/>
      </top>
      <bottom style="thin">
        <color rgb="FFB7C4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 indent="1"/>
    </xf>
    <xf numFmtId="164" fontId="5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/>
    </xf>
    <xf numFmtId="1" fontId="8" fillId="0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 indent="1"/>
    </xf>
    <xf numFmtId="164" fontId="5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/>
    </xf>
    <xf numFmtId="1" fontId="8" fillId="0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5C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9C8"/>
          <bgColor rgb="FF000000"/>
        </patternFill>
      </fill>
    </dxf>
    <dxf>
      <fill>
        <patternFill patternType="solid">
          <fgColor rgb="FF9A4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1"/>
      <rgbColor rgb="FF808080"/>
      <rgbColor rgb="FF9999FF"/>
      <rgbColor rgb="FF993366"/>
      <rgbColor rgb="FFFCE9C8"/>
      <rgbColor rgb="FFCCFFFF"/>
      <rgbColor rgb="FF660066"/>
      <rgbColor rgb="FFFF8080"/>
      <rgbColor rgb="FF1F5C8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2"/>
      <rgbColor rgb="FF9AA6B2"/>
      <rgbColor rgb="FF12314F"/>
      <rgbColor rgb="FF339966"/>
      <rgbColor rgb="FF003300"/>
      <rgbColor rgb="FF333300"/>
      <rgbColor rgb="FF9A4A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40" customWidth="1" style="13" min="2" max="2"/>
    <col width="13" customWidth="1" style="13" min="3" max="3"/>
    <col width="9" customWidth="1" style="13" min="4" max="5"/>
    <col width="15" customWidth="1" style="13" min="6" max="6"/>
    <col width="14" customWidth="1" style="13" min="7" max="7"/>
    <col width="12" customWidth="1" style="13" min="8" max="10"/>
    <col width="8" customWidth="1" style="13" min="11" max="11"/>
    <col width="12" customWidth="1" style="13" min="12" max="12"/>
    <col width="11" customWidth="1" style="13" min="13" max="14"/>
    <col width="46" customWidth="1" style="13" min="15" max="15"/>
    <col width="40" customWidth="1" style="13" min="16" max="16"/>
    <col width="16" customWidth="1" style="13" min="17" max="18"/>
    <col width="12" customWidth="1" style="13" min="20" max="20"/>
  </cols>
  <sheetData>
    <row r="1" ht="24" customHeight="1" s="14">
      <c r="A1" s="15" t="inlineStr">
        <is>
          <t>MERIDIAN DATA CENTRE - PHASE 1   |   REQUEST FOR INFORMATION (RFI) REGISTER</t>
        </is>
      </c>
      <c r="T1" s="16" t="inlineStr">
        <is>
          <t>ReportDate</t>
        </is>
      </c>
    </row>
    <row r="2" ht="15.75" customHeight="1" s="14">
      <c r="A2" s="17" t="inlineStr">
        <is>
          <t>Source: EDMS export (Aconex-style)   |   Register Report Date: 2026-07-20   |   Project No. MDC-P1   |   Ball-in-Court = party currently responsible for the next action</t>
        </is>
      </c>
      <c r="T2" s="18" t="n">
        <v>46223</v>
      </c>
    </row>
    <row r="3"/>
    <row r="4" ht="30" customHeight="1" s="14">
      <c r="A4" s="19" t="inlineStr">
        <is>
          <t>RFI No.</t>
        </is>
      </c>
      <c r="B4" s="19" t="inlineStr">
        <is>
          <t>Subject</t>
        </is>
      </c>
      <c r="C4" s="19" t="inlineStr">
        <is>
          <t>Discipline</t>
        </is>
      </c>
      <c r="D4" s="19" t="inlineStr">
        <is>
          <t>Status</t>
        </is>
      </c>
      <c r="E4" s="19" t="inlineStr">
        <is>
          <t>Priority</t>
        </is>
      </c>
      <c r="F4" s="19" t="inlineStr">
        <is>
          <t>Raised By</t>
        </is>
      </c>
      <c r="G4" s="19" t="inlineStr">
        <is>
          <t>Ball-in-Court</t>
        </is>
      </c>
      <c r="H4" s="19" t="inlineStr">
        <is>
          <t>Date Raised</t>
        </is>
      </c>
      <c r="I4" s="19" t="inlineStr">
        <is>
          <t>Date Required</t>
        </is>
      </c>
      <c r="J4" s="19" t="inlineStr">
        <is>
          <t>Date Closed</t>
        </is>
      </c>
      <c r="K4" s="19" t="inlineStr">
        <is>
          <t>Days Open</t>
        </is>
      </c>
      <c r="L4" s="19" t="inlineStr">
        <is>
          <t>Linked Activity</t>
        </is>
      </c>
      <c r="M4" s="19" t="inlineStr">
        <is>
          <t>Spec Ref</t>
        </is>
      </c>
      <c r="N4" s="19" t="inlineStr">
        <is>
          <t>Drawing Ref</t>
        </is>
      </c>
      <c r="O4" s="19" t="inlineStr">
        <is>
          <t>Question</t>
        </is>
      </c>
      <c r="P4" s="19" t="inlineStr">
        <is>
          <t>Proposed Solution / Response</t>
        </is>
      </c>
      <c r="Q4" s="19" t="inlineStr">
        <is>
          <t>Cost Impact (stated)</t>
        </is>
      </c>
      <c r="R4" s="19" t="inlineStr">
        <is>
          <t>Schedule Impact (stated)</t>
        </is>
      </c>
    </row>
    <row r="5" ht="22.35" customHeight="1" s="14">
      <c r="A5" s="20" t="inlineStr">
        <is>
          <t>RFI-0001</t>
        </is>
      </c>
      <c r="B5" s="21" t="inlineStr">
        <is>
          <t>Confirmation of incoming utility fault level at 11 kV point of supply</t>
        </is>
      </c>
      <c r="C5" s="20" t="inlineStr">
        <is>
          <t>Electrical</t>
        </is>
      </c>
      <c r="D5" s="20" t="inlineStr">
        <is>
          <t>Closed</t>
        </is>
      </c>
      <c r="E5" s="20" t="inlineStr">
        <is>
          <t>Medium</t>
        </is>
      </c>
      <c r="F5" s="20" t="inlineStr">
        <is>
          <t>EPC Contractor</t>
        </is>
      </c>
      <c r="G5" s="20" t="inlineStr">
        <is>
          <t>Owner</t>
        </is>
      </c>
      <c r="H5" s="22" t="n">
        <v>46044</v>
      </c>
      <c r="I5" s="22" t="n">
        <v>46058</v>
      </c>
      <c r="J5" s="22" t="n">
        <v>46056</v>
      </c>
      <c r="K5" s="23">
        <f>IF(D5="Open",$T$2-H5,IF(J5="","",J5-H5))</f>
        <v/>
      </c>
      <c r="L5" s="20" t="inlineStr">
        <is>
          <t>ACT-004</t>
        </is>
      </c>
      <c r="M5" s="20" t="inlineStr">
        <is>
          <t>ELEC-6.1.1</t>
        </is>
      </c>
      <c r="N5" s="20" t="inlineStr">
        <is>
          <t>SLD-001</t>
        </is>
      </c>
      <c r="O5" s="21" t="inlineStr">
        <is>
          <t>Utility fault level required to finalise switchgear short-circuit rating.</t>
        </is>
      </c>
      <c r="P5" s="21" t="inlineStr">
        <is>
          <t>Utility confirmed 25 kA at PoS; design retained.</t>
        </is>
      </c>
      <c r="Q5" s="20" t="inlineStr">
        <is>
          <t>None</t>
        </is>
      </c>
      <c r="R5" s="20" t="inlineStr">
        <is>
          <t>None</t>
        </is>
      </c>
    </row>
    <row r="6" ht="22.35" customHeight="1" s="14">
      <c r="A6" s="20" t="inlineStr">
        <is>
          <t>RFI-0002</t>
        </is>
      </c>
      <c r="B6" s="21" t="inlineStr">
        <is>
          <t>Geotechnical bearing capacity clarification for foundation design</t>
        </is>
      </c>
      <c r="C6" s="20" t="inlineStr">
        <is>
          <t>Civil</t>
        </is>
      </c>
      <c r="D6" s="20" t="inlineStr">
        <is>
          <t>Closed</t>
        </is>
      </c>
      <c r="E6" s="20" t="inlineStr">
        <is>
          <t>High</t>
        </is>
      </c>
      <c r="F6" s="20" t="inlineStr">
        <is>
          <t>EPC Contractor</t>
        </is>
      </c>
      <c r="G6" s="20" t="inlineStr">
        <is>
          <t>Consultant</t>
        </is>
      </c>
      <c r="H6" s="22" t="n">
        <v>46050</v>
      </c>
      <c r="I6" s="22" t="n">
        <v>46063</v>
      </c>
      <c r="J6" s="22" t="n">
        <v>46062</v>
      </c>
      <c r="K6" s="23">
        <f>IF(D6="Open",$T$2-H6,IF(J6="","",J6-H6))</f>
        <v/>
      </c>
      <c r="L6" s="20" t="inlineStr">
        <is>
          <t>ACT-024</t>
        </is>
      </c>
      <c r="M6" s="20" t="inlineStr">
        <is>
          <t>CIVIL-2.1.1</t>
        </is>
      </c>
      <c r="N6" s="20" t="inlineStr">
        <is>
          <t>STR-014</t>
        </is>
      </c>
      <c r="O6" s="21" t="inlineStr">
        <is>
          <t>Allowable bearing pressure at pile-cap level to be confirmed.</t>
        </is>
      </c>
      <c r="P6" s="21" t="inlineStr">
        <is>
          <t>Geotech report rev B issued; 220 kPa adopted.</t>
        </is>
      </c>
      <c r="Q6" s="20" t="inlineStr">
        <is>
          <t>None</t>
        </is>
      </c>
      <c r="R6" s="20" t="inlineStr">
        <is>
          <t>None</t>
        </is>
      </c>
    </row>
    <row r="7" ht="32.8" customHeight="1" s="14">
      <c r="A7" s="20" t="inlineStr">
        <is>
          <t>RFI-0003</t>
        </is>
      </c>
      <c r="B7" s="21" t="inlineStr">
        <is>
          <t>UPS-02A installation clearances and cable entry orientation</t>
        </is>
      </c>
      <c r="C7" s="20" t="inlineStr">
        <is>
          <t>Electrical</t>
        </is>
      </c>
      <c r="D7" s="24" t="inlineStr">
        <is>
          <t>Open</t>
        </is>
      </c>
      <c r="E7" s="20" t="inlineStr">
        <is>
          <t>High</t>
        </is>
      </c>
      <c r="F7" s="20" t="inlineStr">
        <is>
          <t>EPC Contractor</t>
        </is>
      </c>
      <c r="G7" s="20" t="inlineStr">
        <is>
          <t>Consultant</t>
        </is>
      </c>
      <c r="H7" s="22" t="n">
        <v>46197</v>
      </c>
      <c r="I7" s="22" t="n">
        <v>46218</v>
      </c>
      <c r="J7" s="22" t="n"/>
      <c r="K7" s="23">
        <f>IF(D7="Open",$T$2-H7,IF(J7="","",J7-H7))</f>
        <v/>
      </c>
      <c r="L7" s="20" t="inlineStr">
        <is>
          <t>ACT-033</t>
        </is>
      </c>
      <c r="M7" s="20" t="inlineStr">
        <is>
          <t>ELEC-4.2.8</t>
        </is>
      </c>
      <c r="N7" s="20" t="inlineStr">
        <is>
          <t>ELE-220</t>
        </is>
      </c>
      <c r="O7" s="21" t="inlineStr">
        <is>
          <t>Front/side maintenance clearance vs room layout; bottom vs top cable entry for UPS-02A to be confirmed before installation proceeds.</t>
        </is>
      </c>
      <c r="P7" s="21" t="inlineStr">
        <is>
          <t>Await Engineer mark-up of electrical room GA.</t>
        </is>
      </c>
      <c r="Q7" s="20" t="inlineStr">
        <is>
          <t>Potential - TBD</t>
        </is>
      </c>
      <c r="R7" s="20" t="inlineStr">
        <is>
          <t>Potential - TBD</t>
        </is>
      </c>
    </row>
    <row r="8" ht="22.35" customHeight="1" s="14">
      <c r="A8" s="20" t="inlineStr">
        <is>
          <t>RFI-0004</t>
        </is>
      </c>
      <c r="B8" s="21" t="inlineStr">
        <is>
          <t>Chilled water design temperatures and delta-T confirmation</t>
        </is>
      </c>
      <c r="C8" s="20" t="inlineStr">
        <is>
          <t>Mechanical</t>
        </is>
      </c>
      <c r="D8" s="20" t="inlineStr">
        <is>
          <t>Closed</t>
        </is>
      </c>
      <c r="E8" s="20" t="inlineStr">
        <is>
          <t>Medium</t>
        </is>
      </c>
      <c r="F8" s="20" t="inlineStr">
        <is>
          <t>EPC Contractor</t>
        </is>
      </c>
      <c r="G8" s="20" t="inlineStr">
        <is>
          <t>Consultant</t>
        </is>
      </c>
      <c r="H8" s="22" t="n">
        <v>46067</v>
      </c>
      <c r="I8" s="22" t="n">
        <v>46079</v>
      </c>
      <c r="J8" s="22" t="n">
        <v>46077</v>
      </c>
      <c r="K8" s="23">
        <f>IF(D8="Open",$T$2-H8,IF(J8="","",J8-H8))</f>
        <v/>
      </c>
      <c r="L8" s="20" t="inlineStr">
        <is>
          <t>ACT-039</t>
        </is>
      </c>
      <c r="M8" s="20" t="inlineStr">
        <is>
          <t>MECH-4.2.1</t>
        </is>
      </c>
      <c r="N8" s="20" t="inlineStr">
        <is>
          <t>MEC-101</t>
        </is>
      </c>
      <c r="O8" s="21" t="inlineStr">
        <is>
          <t>Confirm CHW supply/return temperatures for pipe sizing.</t>
        </is>
      </c>
      <c r="P8" s="21" t="inlineStr">
        <is>
          <t>18/30 C confirmed; sizing retained.</t>
        </is>
      </c>
      <c r="Q8" s="20" t="inlineStr">
        <is>
          <t>None</t>
        </is>
      </c>
      <c r="R8" s="20" t="inlineStr">
        <is>
          <t>None</t>
        </is>
      </c>
    </row>
    <row r="9" ht="22.35" customHeight="1" s="14">
      <c r="A9" s="20" t="inlineStr">
        <is>
          <t>RFI-0005</t>
        </is>
      </c>
      <c r="B9" s="21" t="inlineStr">
        <is>
          <t>Raised access floor panel load rating for high-density zone</t>
        </is>
      </c>
      <c r="C9" s="20" t="inlineStr">
        <is>
          <t>Civil</t>
        </is>
      </c>
      <c r="D9" s="20" t="inlineStr">
        <is>
          <t>Closed</t>
        </is>
      </c>
      <c r="E9" s="20" t="inlineStr">
        <is>
          <t>Low</t>
        </is>
      </c>
      <c r="F9" s="20" t="inlineStr">
        <is>
          <t>EPC Contractor</t>
        </is>
      </c>
      <c r="G9" s="20" t="inlineStr">
        <is>
          <t>Consultant</t>
        </is>
      </c>
      <c r="H9" s="22" t="n">
        <v>46084</v>
      </c>
      <c r="I9" s="22" t="n">
        <v>46098</v>
      </c>
      <c r="J9" s="22" t="n">
        <v>46095</v>
      </c>
      <c r="K9" s="23">
        <f>IF(D9="Open",$T$2-H9,IF(J9="","",J9-H9))</f>
        <v/>
      </c>
      <c r="L9" s="20" t="inlineStr">
        <is>
          <t>ACT-028</t>
        </is>
      </c>
      <c r="M9" s="20" t="inlineStr">
        <is>
          <t>CIVIL-2.2.1</t>
        </is>
      </c>
      <c r="N9" s="20" t="inlineStr">
        <is>
          <t>STR-045</t>
        </is>
      </c>
      <c r="O9" s="21" t="inlineStr">
        <is>
          <t>Confirm concentrated load rating for HD cabinets.</t>
        </is>
      </c>
      <c r="P9" s="21" t="inlineStr">
        <is>
          <t>5 kN/panel with 2.0 factor confirmed.</t>
        </is>
      </c>
      <c r="Q9" s="20" t="inlineStr">
        <is>
          <t>None</t>
        </is>
      </c>
      <c r="R9" s="20" t="inlineStr">
        <is>
          <t>None</t>
        </is>
      </c>
    </row>
    <row r="10" ht="22.35" customHeight="1" s="14">
      <c r="A10" s="20" t="inlineStr">
        <is>
          <t>RFI-0006</t>
        </is>
      </c>
      <c r="B10" s="21" t="inlineStr">
        <is>
          <t>VESDA sampling pipe routing coordination with containment</t>
        </is>
      </c>
      <c r="C10" s="20" t="inlineStr">
        <is>
          <t>Fire</t>
        </is>
      </c>
      <c r="D10" s="20" t="inlineStr">
        <is>
          <t>Closed</t>
        </is>
      </c>
      <c r="E10" s="20" t="inlineStr">
        <is>
          <t>Medium</t>
        </is>
      </c>
      <c r="F10" s="20" t="inlineStr">
        <is>
          <t>EPC Contractor</t>
        </is>
      </c>
      <c r="G10" s="20" t="inlineStr">
        <is>
          <t>Consultant</t>
        </is>
      </c>
      <c r="H10" s="22" t="n">
        <v>46101</v>
      </c>
      <c r="I10" s="22" t="n">
        <v>46114</v>
      </c>
      <c r="J10" s="22" t="n">
        <v>46112</v>
      </c>
      <c r="K10" s="23">
        <f>IF(D10="Open",$T$2-H10,IF(J10="","",J10-H10))</f>
        <v/>
      </c>
      <c r="L10" s="20" t="inlineStr">
        <is>
          <t>ACT-038</t>
        </is>
      </c>
      <c r="M10" s="20" t="inlineStr">
        <is>
          <t>FIRE-2.1.1</t>
        </is>
      </c>
      <c r="N10" s="20" t="inlineStr">
        <is>
          <t>FIR-012</t>
        </is>
      </c>
      <c r="O10" s="21" t="inlineStr">
        <is>
          <t>Aspirating pipe routing clashes with cable containment in Hall A.</t>
        </is>
      </c>
      <c r="P10" s="21" t="inlineStr">
        <is>
          <t>Rerouted per coordinated model; approved.</t>
        </is>
      </c>
      <c r="Q10" s="20" t="inlineStr">
        <is>
          <t>Minor - absorbed</t>
        </is>
      </c>
      <c r="R10" s="20" t="inlineStr">
        <is>
          <t>None</t>
        </is>
      </c>
    </row>
    <row r="11" ht="32.8" customHeight="1" s="14">
      <c r="A11" s="20" t="inlineStr">
        <is>
          <t>RFI-0007</t>
        </is>
      </c>
      <c r="B11" s="21" t="inlineStr">
        <is>
          <t>UPS-02A retransfer / concurrent-maintainability test procedure basis</t>
        </is>
      </c>
      <c r="C11" s="20" t="inlineStr">
        <is>
          <t>Commissioning</t>
        </is>
      </c>
      <c r="D11" s="24" t="inlineStr">
        <is>
          <t>Open</t>
        </is>
      </c>
      <c r="E11" s="20" t="inlineStr">
        <is>
          <t>High</t>
        </is>
      </c>
      <c r="F11" s="20" t="inlineStr">
        <is>
          <t>Commissioning Agent</t>
        </is>
      </c>
      <c r="G11" s="20" t="inlineStr">
        <is>
          <t>Consultant</t>
        </is>
      </c>
      <c r="H11" s="22" t="n">
        <v>46203</v>
      </c>
      <c r="I11" s="22" t="n">
        <v>46221</v>
      </c>
      <c r="J11" s="22" t="n"/>
      <c r="K11" s="23">
        <f>IF(D11="Open",$T$2-H11,IF(J11="","",J11-H11))</f>
        <v/>
      </c>
      <c r="L11" s="20" t="inlineStr">
        <is>
          <t>ACT-046</t>
        </is>
      </c>
      <c r="M11" s="20" t="inlineStr">
        <is>
          <t>ELEC-4.2.2</t>
        </is>
      </c>
      <c r="N11" s="20" t="inlineStr">
        <is>
          <t>CX-UPS-02</t>
        </is>
      </c>
      <c r="O11" s="21" t="inlineStr">
        <is>
          <t>Confirm acceptance basis for inverter-to-bypass retransfer timing to be witnessed during UPS-02A commissioning; clarify pass criterion and instrumentation.</t>
        </is>
      </c>
      <c r="P11" s="21" t="inlineStr">
        <is>
          <t>Await Engineer confirmation of test acceptance limits.</t>
        </is>
      </c>
      <c r="Q11" s="20" t="inlineStr">
        <is>
          <t>Potential - TBD</t>
        </is>
      </c>
      <c r="R11" s="20" t="inlineStr">
        <is>
          <t>Potential - TBD</t>
        </is>
      </c>
    </row>
    <row r="12" ht="22.35" customHeight="1" s="14">
      <c r="A12" s="20" t="inlineStr">
        <is>
          <t>RFI-0008</t>
        </is>
      </c>
      <c r="B12" s="21" t="inlineStr">
        <is>
          <t>Generator exhaust routing and acoustic attenuation</t>
        </is>
      </c>
      <c r="C12" s="20" t="inlineStr">
        <is>
          <t>Mechanical</t>
        </is>
      </c>
      <c r="D12" s="20" t="inlineStr">
        <is>
          <t>Closed</t>
        </is>
      </c>
      <c r="E12" s="20" t="inlineStr">
        <is>
          <t>Medium</t>
        </is>
      </c>
      <c r="F12" s="20" t="inlineStr">
        <is>
          <t>EPC Contractor</t>
        </is>
      </c>
      <c r="G12" s="20" t="inlineStr">
        <is>
          <t>Consultant</t>
        </is>
      </c>
      <c r="H12" s="22" t="n">
        <v>46122</v>
      </c>
      <c r="I12" s="22" t="n">
        <v>46136</v>
      </c>
      <c r="J12" s="22" t="n">
        <v>46133</v>
      </c>
      <c r="K12" s="23">
        <f>IF(D12="Open",$T$2-H12,IF(J12="","",J12-H12))</f>
        <v/>
      </c>
      <c r="L12" s="20" t="inlineStr">
        <is>
          <t>ACT-032</t>
        </is>
      </c>
      <c r="M12" s="20" t="inlineStr">
        <is>
          <t>ELEC-5.1.2</t>
        </is>
      </c>
      <c r="N12" s="20" t="inlineStr">
        <is>
          <t>MEC-210</t>
        </is>
      </c>
      <c r="O12" s="21" t="inlineStr">
        <is>
          <t>Exhaust stack height and silencer selection for boundary noise.</t>
        </is>
      </c>
      <c r="P12" s="21" t="inlineStr">
        <is>
          <t>Stack + residential silencer approved.</t>
        </is>
      </c>
      <c r="Q12" s="20" t="inlineStr">
        <is>
          <t>Minor - absorbed</t>
        </is>
      </c>
      <c r="R12" s="20" t="inlineStr">
        <is>
          <t>None</t>
        </is>
      </c>
    </row>
    <row r="13" ht="32.8" customHeight="1" s="14">
      <c r="A13" s="20" t="inlineStr">
        <is>
          <t>RFI-0009</t>
        </is>
      </c>
      <c r="B13" s="21" t="inlineStr">
        <is>
          <t>MV switchgear arc-flash incident-energy labelling prior to energisation</t>
        </is>
      </c>
      <c r="C13" s="20" t="inlineStr">
        <is>
          <t>Electrical</t>
        </is>
      </c>
      <c r="D13" s="24" t="inlineStr">
        <is>
          <t>Open</t>
        </is>
      </c>
      <c r="E13" s="20" t="inlineStr">
        <is>
          <t>High</t>
        </is>
      </c>
      <c r="F13" s="20" t="inlineStr">
        <is>
          <t>EPC Contractor</t>
        </is>
      </c>
      <c r="G13" s="20" t="inlineStr">
        <is>
          <t>Consultant</t>
        </is>
      </c>
      <c r="H13" s="22" t="n">
        <v>46199</v>
      </c>
      <c r="I13" s="22" t="n">
        <v>46219</v>
      </c>
      <c r="J13" s="22" t="n"/>
      <c r="K13" s="23">
        <f>IF(D13="Open",$T$2-H13,IF(J13="","",J13-H13))</f>
        <v/>
      </c>
      <c r="L13" s="20" t="inlineStr">
        <is>
          <t>ACT-031</t>
        </is>
      </c>
      <c r="M13" s="20" t="inlineStr">
        <is>
          <t>ELEC-6.1.2</t>
        </is>
      </c>
      <c r="N13" s="20" t="inlineStr">
        <is>
          <t>ELE-060</t>
        </is>
      </c>
      <c r="O13" s="21" t="inlineStr">
        <is>
          <t>IEEE 1584 incident-energy study results and label schedule required before MV switchgear can be energised; confirm PPE category boundaries.</t>
        </is>
      </c>
      <c r="P13" s="21" t="inlineStr">
        <is>
          <t>Await coordination study rev C and Engineer approval.</t>
        </is>
      </c>
      <c r="Q13" s="20" t="inlineStr">
        <is>
          <t>Potential - TBD</t>
        </is>
      </c>
      <c r="R13" s="20" t="inlineStr">
        <is>
          <t>Potential - TBD</t>
        </is>
      </c>
    </row>
    <row r="14" ht="15" customHeight="1" s="14">
      <c r="A14" s="20" t="inlineStr">
        <is>
          <t>RFI-0010</t>
        </is>
      </c>
      <c r="B14" s="21" t="inlineStr">
        <is>
          <t>Structured cabling backbone fibre count and grade</t>
        </is>
      </c>
      <c r="C14" s="20" t="inlineStr">
        <is>
          <t>IT</t>
        </is>
      </c>
      <c r="D14" s="20" t="inlineStr">
        <is>
          <t>Closed</t>
        </is>
      </c>
      <c r="E14" s="20" t="inlineStr">
        <is>
          <t>Low</t>
        </is>
      </c>
      <c r="F14" s="20" t="inlineStr">
        <is>
          <t>EPC Contractor</t>
        </is>
      </c>
      <c r="G14" s="20" t="inlineStr">
        <is>
          <t>Consultant</t>
        </is>
      </c>
      <c r="H14" s="22" t="n">
        <v>46140</v>
      </c>
      <c r="I14" s="22" t="n">
        <v>46154</v>
      </c>
      <c r="J14" s="22" t="n">
        <v>46151</v>
      </c>
      <c r="K14" s="23">
        <f>IF(D14="Open",$T$2-H14,IF(J14="","",J14-H14))</f>
        <v/>
      </c>
      <c r="L14" s="20" t="inlineStr">
        <is>
          <t>ACT-036</t>
        </is>
      </c>
      <c r="M14" s="20" t="inlineStr">
        <is>
          <t>IT-2.1.1</t>
        </is>
      </c>
      <c r="N14" s="20" t="inlineStr">
        <is>
          <t>ITC-003</t>
        </is>
      </c>
      <c r="O14" s="21" t="inlineStr">
        <is>
          <t>Confirm OM4/OS2 counts for backbone pathways.</t>
        </is>
      </c>
      <c r="P14" s="21" t="inlineStr">
        <is>
          <t>Counts confirmed per rev B; OS2 added.</t>
        </is>
      </c>
      <c r="Q14" s="20" t="inlineStr">
        <is>
          <t>None</t>
        </is>
      </c>
      <c r="R14" s="20" t="inlineStr">
        <is>
          <t>None</t>
        </is>
      </c>
    </row>
    <row r="15" ht="22.35" customHeight="1" s="14">
      <c r="A15" s="20" t="inlineStr">
        <is>
          <t>RFI-0011</t>
        </is>
      </c>
      <c r="B15" s="21" t="inlineStr">
        <is>
          <t>Clean-agent cylinder room location and pressure relief venting</t>
        </is>
      </c>
      <c r="C15" s="20" t="inlineStr">
        <is>
          <t>Fire</t>
        </is>
      </c>
      <c r="D15" s="20" t="inlineStr">
        <is>
          <t>Closed</t>
        </is>
      </c>
      <c r="E15" s="20" t="inlineStr">
        <is>
          <t>Medium</t>
        </is>
      </c>
      <c r="F15" s="20" t="inlineStr">
        <is>
          <t>EPC Contractor</t>
        </is>
      </c>
      <c r="G15" s="20" t="inlineStr">
        <is>
          <t>Consultant</t>
        </is>
      </c>
      <c r="H15" s="22" t="n">
        <v>46147</v>
      </c>
      <c r="I15" s="22" t="n">
        <v>46161</v>
      </c>
      <c r="J15" s="22" t="n">
        <v>46158</v>
      </c>
      <c r="K15" s="23">
        <f>IF(D15="Open",$T$2-H15,IF(J15="","",J15-H15))</f>
        <v/>
      </c>
      <c r="L15" s="20" t="inlineStr">
        <is>
          <t>ACT-038</t>
        </is>
      </c>
      <c r="M15" s="20" t="inlineStr">
        <is>
          <t>FIRE-3.1.1</t>
        </is>
      </c>
      <c r="N15" s="20" t="inlineStr">
        <is>
          <t>FIR-030</t>
        </is>
      </c>
      <c r="O15" s="21" t="inlineStr">
        <is>
          <t>Relief vent sizing for protected volume to be confirmed.</t>
        </is>
      </c>
      <c r="P15" s="21" t="inlineStr">
        <is>
          <t>Vent area confirmed per ISO 14520.</t>
        </is>
      </c>
      <c r="Q15" s="20" t="inlineStr">
        <is>
          <t>None</t>
        </is>
      </c>
      <c r="R15" s="20" t="inlineStr">
        <is>
          <t>None</t>
        </is>
      </c>
    </row>
    <row r="16" ht="32.8" customHeight="1" s="14">
      <c r="A16" s="20" t="inlineStr">
        <is>
          <t>RFI-0012</t>
        </is>
      </c>
      <c r="B16" s="21" t="inlineStr">
        <is>
          <t>Generator bulk fuel storage tank capacity vs 48-hour autonomy</t>
        </is>
      </c>
      <c r="C16" s="20" t="inlineStr">
        <is>
          <t>Mechanical</t>
        </is>
      </c>
      <c r="D16" s="24" t="inlineStr">
        <is>
          <t>Open</t>
        </is>
      </c>
      <c r="E16" s="20" t="inlineStr">
        <is>
          <t>High</t>
        </is>
      </c>
      <c r="F16" s="20" t="inlineStr">
        <is>
          <t>EPC Contractor</t>
        </is>
      </c>
      <c r="G16" s="20" t="inlineStr">
        <is>
          <t>Owner</t>
        </is>
      </c>
      <c r="H16" s="22" t="n">
        <v>46205</v>
      </c>
      <c r="I16" s="22" t="n">
        <v>46220</v>
      </c>
      <c r="J16" s="22" t="n"/>
      <c r="K16" s="23">
        <f>IF(D16="Open",$T$2-H16,IF(J16="","",J16-H16))</f>
        <v/>
      </c>
      <c r="L16" s="20" t="inlineStr">
        <is>
          <t>ACT-032</t>
        </is>
      </c>
      <c r="M16" s="20" t="inlineStr">
        <is>
          <t>ELEC-5.1.3</t>
        </is>
      </c>
      <c r="N16" s="20" t="inlineStr">
        <is>
          <t>MEC-215</t>
        </is>
      </c>
      <c r="O16" s="21" t="inlineStr">
        <is>
          <t>Confirm bulk fuel tank sizing to demonstrate 48-hour autonomy at full standby load; verify available plot area for the required tank.</t>
        </is>
      </c>
      <c r="P16" s="21" t="inlineStr">
        <is>
          <t>Await Owner decision on tank size / footprint.</t>
        </is>
      </c>
      <c r="Q16" s="20" t="inlineStr">
        <is>
          <t>Potential - significant</t>
        </is>
      </c>
      <c r="R16" s="20" t="inlineStr">
        <is>
          <t>Potential - TBD</t>
        </is>
      </c>
    </row>
    <row r="17" ht="22.35" customHeight="1" s="14">
      <c r="A17" s="20" t="inlineStr">
        <is>
          <t>RFI-0013</t>
        </is>
      </c>
      <c r="B17" s="21" t="inlineStr">
        <is>
          <t>Earthing electrode arrangement to achieve 1 ohm target</t>
        </is>
      </c>
      <c r="C17" s="20" t="inlineStr">
        <is>
          <t>Electrical</t>
        </is>
      </c>
      <c r="D17" s="20" t="inlineStr">
        <is>
          <t>Closed</t>
        </is>
      </c>
      <c r="E17" s="20" t="inlineStr">
        <is>
          <t>Medium</t>
        </is>
      </c>
      <c r="F17" s="20" t="inlineStr">
        <is>
          <t>EPC Contractor</t>
        </is>
      </c>
      <c r="G17" s="20" t="inlineStr">
        <is>
          <t>Consultant</t>
        </is>
      </c>
      <c r="H17" s="22" t="n">
        <v>46164</v>
      </c>
      <c r="I17" s="22" t="n">
        <v>46177</v>
      </c>
      <c r="J17" s="22" t="n">
        <v>46175</v>
      </c>
      <c r="K17" s="23">
        <f>IF(D17="Open",$T$2-H17,IF(J17="","",J17-H17))</f>
        <v/>
      </c>
      <c r="L17" s="20" t="inlineStr">
        <is>
          <t>ACT-037</t>
        </is>
      </c>
      <c r="M17" s="20" t="inlineStr">
        <is>
          <t>ELEC-6.3.1</t>
        </is>
      </c>
      <c r="N17" s="20" t="inlineStr">
        <is>
          <t>ELE-090</t>
        </is>
      </c>
      <c r="O17" s="21" t="inlineStr">
        <is>
          <t>Electrode count/spacing to meet 1 ohm given soil resistivity.</t>
        </is>
      </c>
      <c r="P17" s="21" t="inlineStr">
        <is>
          <t>Additional rods approved; target met in design.</t>
        </is>
      </c>
      <c r="Q17" s="20" t="inlineStr">
        <is>
          <t>Minor - absorbed</t>
        </is>
      </c>
      <c r="R17" s="20" t="inlineStr">
        <is>
          <t>None</t>
        </is>
      </c>
    </row>
    <row r="18" ht="15" customHeight="1" s="14">
      <c r="A18" s="20" t="inlineStr">
        <is>
          <t>RFI-0014</t>
        </is>
      </c>
      <c r="B18" s="21" t="inlineStr">
        <is>
          <t>CRAH condensate drainage routing in data hall</t>
        </is>
      </c>
      <c r="C18" s="20" t="inlineStr">
        <is>
          <t>Mechanical</t>
        </is>
      </c>
      <c r="D18" s="20" t="inlineStr">
        <is>
          <t>Closed</t>
        </is>
      </c>
      <c r="E18" s="20" t="inlineStr">
        <is>
          <t>Low</t>
        </is>
      </c>
      <c r="F18" s="20" t="inlineStr">
        <is>
          <t>EPC Contractor</t>
        </is>
      </c>
      <c r="G18" s="20" t="inlineStr">
        <is>
          <t>Consultant</t>
        </is>
      </c>
      <c r="H18" s="22" t="n">
        <v>46174</v>
      </c>
      <c r="I18" s="22" t="n">
        <v>46188</v>
      </c>
      <c r="J18" s="22" t="n">
        <v>46185</v>
      </c>
      <c r="K18" s="23">
        <f>IF(D18="Open",$T$2-H18,IF(J18="","",J18-H18))</f>
        <v/>
      </c>
      <c r="L18" s="20" t="inlineStr">
        <is>
          <t>ACT-041</t>
        </is>
      </c>
      <c r="M18" s="20" t="inlineStr">
        <is>
          <t>MECH-4.1.1</t>
        </is>
      </c>
      <c r="N18" s="20" t="inlineStr">
        <is>
          <t>MEC-130</t>
        </is>
      </c>
      <c r="O18" s="21" t="inlineStr">
        <is>
          <t>Condensate drain routing under raised floor to be confirmed.</t>
        </is>
      </c>
      <c r="P18" s="21" t="inlineStr">
        <is>
          <t>Routing approved; trace heating added.</t>
        </is>
      </c>
      <c r="Q18" s="20" t="inlineStr">
        <is>
          <t>None</t>
        </is>
      </c>
      <c r="R18" s="20" t="inlineStr">
        <is>
          <t>None</t>
        </is>
      </c>
    </row>
    <row r="19" ht="22.35" customHeight="1" s="14">
      <c r="A19" s="20" t="inlineStr">
        <is>
          <t>RFI-0015</t>
        </is>
      </c>
      <c r="B19" s="21" t="inlineStr">
        <is>
          <t>PDU output configuration and breaker schedule confirmation</t>
        </is>
      </c>
      <c r="C19" s="20" t="inlineStr">
        <is>
          <t>Electrical</t>
        </is>
      </c>
      <c r="D19" s="20" t="inlineStr">
        <is>
          <t>Closed</t>
        </is>
      </c>
      <c r="E19" s="20" t="inlineStr">
        <is>
          <t>Medium</t>
        </is>
      </c>
      <c r="F19" s="20" t="inlineStr">
        <is>
          <t>EPC Contractor</t>
        </is>
      </c>
      <c r="G19" s="20" t="inlineStr">
        <is>
          <t>Consultant</t>
        </is>
      </c>
      <c r="H19" s="22" t="n">
        <v>46183</v>
      </c>
      <c r="I19" s="22" t="n">
        <v>46197</v>
      </c>
      <c r="J19" s="22" t="n">
        <v>46193</v>
      </c>
      <c r="K19" s="23">
        <f>IF(D19="Open",$T$2-H19,IF(J19="","",J19-H19))</f>
        <v/>
      </c>
      <c r="L19" s="20" t="inlineStr">
        <is>
          <t>ACT-035</t>
        </is>
      </c>
      <c r="M19" s="20" t="inlineStr">
        <is>
          <t>ELEC-6.2.1</t>
        </is>
      </c>
      <c r="N19" s="20" t="inlineStr">
        <is>
          <t>ELE-150</t>
        </is>
      </c>
      <c r="O19" s="21" t="inlineStr">
        <is>
          <t>Confirm PDU output breaker schedule for busway taps.</t>
        </is>
      </c>
      <c r="P19" s="21" t="inlineStr">
        <is>
          <t>Schedule confirmed per rev B.</t>
        </is>
      </c>
      <c r="Q19" s="20" t="inlineStr">
        <is>
          <t>None</t>
        </is>
      </c>
      <c r="R19" s="20" t="inlineStr">
        <is>
          <t>None</t>
        </is>
      </c>
    </row>
    <row r="20"/>
    <row r="21" ht="15" customHeight="1" s="14">
      <c r="A21" s="25" t="inlineStr">
        <is>
          <t>Total RFIs</t>
        </is>
      </c>
      <c r="B21" s="26">
        <f>COUNTA(A5:A19)</f>
        <v/>
      </c>
    </row>
    <row r="22" ht="15" customHeight="1" s="14">
      <c r="A22" s="25" t="inlineStr">
        <is>
          <t>Open</t>
        </is>
      </c>
      <c r="B22" s="26">
        <f>COUNTIF(D5:D19,"Open")</f>
        <v/>
      </c>
    </row>
    <row r="23" ht="15" customHeight="1" s="14">
      <c r="A23" s="25" t="inlineStr">
        <is>
          <t>Closed</t>
        </is>
      </c>
      <c r="B23" s="26">
        <f>COUNTIF(D5:D19,"Closed")</f>
        <v/>
      </c>
    </row>
  </sheetData>
  <autoFilter ref="A4:R19"/>
  <mergeCells count="2">
    <mergeCell ref="A2:R2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2026-07-01T17:33:12Z</dcterms:created>
  <dcterms:modified xmlns:dcterms="http://purl.org/dc/terms/" xmlns:xsi="http://www.w3.org/2001/XMLSchema-instance" xsi:type="dcterms:W3CDTF">2026-07-02T18:03:57Z</dcterms:modified>
  <cp:revision>0</cp:revision>
</cp:coreProperties>
</file>